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s Utama" sheetId="1" r:id="rId5"/>
    <sheet state="visible" name="Iuran Anggota 2026" sheetId="2" r:id="rId6"/>
  </sheets>
  <definedNames/>
  <calcPr/>
</workbook>
</file>

<file path=xl/sharedStrings.xml><?xml version="1.0" encoding="utf-8"?>
<sst xmlns="http://schemas.openxmlformats.org/spreadsheetml/2006/main" count="46" uniqueCount="40">
  <si>
    <t>No</t>
  </si>
  <si>
    <t>Tanggal</t>
  </si>
  <si>
    <t>Keterangan</t>
  </si>
  <si>
    <t>Kategori</t>
  </si>
  <si>
    <t>Masuk</t>
  </si>
  <si>
    <t>Keluar</t>
  </si>
  <si>
    <t>Saldo</t>
  </si>
  <si>
    <t>Bukti</t>
  </si>
  <si>
    <t>Sisa dana kegiatan tahun 2025</t>
  </si>
  <si>
    <t>Kegiatan</t>
  </si>
  <si>
    <t>Iuran Anggota Februari</t>
  </si>
  <si>
    <t>Iuran Anggota</t>
  </si>
  <si>
    <t>Pembelian air mineral 1 dus (cup)</t>
  </si>
  <si>
    <t>Operasional</t>
  </si>
  <si>
    <t>Pembelian makanan ringan</t>
  </si>
  <si>
    <t>Iuran Anggota maret</t>
  </si>
  <si>
    <t>Iuran Anggota april</t>
  </si>
  <si>
    <t>Nama Anggota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</si>
  <si>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</si>
  <si>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</si>
  <si>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</si>
  <si>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</si>
  <si>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</si>
  <si>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</si>
  <si>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</si>
  <si>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</si>
  <si>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</si>
  <si>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</si>
  <si>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</si>
  <si>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</si>
  <si>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Andi Saputra</t>
  </si>
  <si>
    <t>Budi Santoso</t>
  </si>
  <si>
    <t>Citra Lestari</t>
  </si>
  <si>
    <t>Dewi Anggraini</t>
  </si>
  <si>
    <t>Eko Prasetyo</t>
  </si>
  <si>
    <t>Fajar Nugroho</t>
  </si>
  <si>
    <t>Gita Permata</t>
  </si>
  <si>
    <t>Hendra Wijaya</t>
  </si>
  <si>
    <t>Intan Sari</t>
  </si>
  <si>
    <t>Joko Susilo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</si>
</sst>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&quot;, &quot;d&quot; &quot;mmmm&quot; &quot;yyyy"/>
    <numFmt numFmtId="165" formatCode="[$Rp]#,##0.00"/>
  </numFmts>
  <fonts count="6">
    <font>
      <sz val="10.0"/>
      <color rgb="FF000000"/>
      <name val="Arial"/>
      <scheme val="minor"/>
    </font>
    <font>
      <color theme="1"/>
      <name val="Arial"/>
    </font>
    <font>
      <b/>
      <color theme="1"/>
      <name val="Roboto"/>
    </font>
    <font>
      <color rgb="FF434343"/>
      <name val="Roboto"/>
    </font>
    <font>
      <color theme="1"/>
      <name val="Arial"/>
      <scheme val="minor"/>
    </font>
    <font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2" fontId="3" numFmtId="164" xfId="0" applyAlignment="1" applyBorder="1" applyFont="1" applyNumberFormat="1">
      <alignment horizontal="left"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3" numFmtId="165" xfId="0" applyAlignment="1" applyBorder="1" applyFont="1" applyNumberFormat="1">
      <alignment horizontal="right" readingOrder="0" shrinkToFit="0" vertical="center" wrapText="0"/>
    </xf>
    <xf borderId="2" fillId="2" fontId="1" numFmtId="165" xfId="0" applyAlignment="1" applyBorder="1" applyFont="1" applyNumberFormat="1">
      <alignment shrinkToFit="0" vertical="center" wrapText="0"/>
    </xf>
    <xf borderId="2" fillId="2" fontId="3" numFmtId="165" xfId="0" applyAlignment="1" applyBorder="1" applyFont="1" applyNumberFormat="1">
      <alignment horizontal="right" shrinkToFit="0" vertical="center" wrapText="0"/>
    </xf>
    <xf borderId="3" fillId="2" fontId="3" numFmtId="0" xfId="0" applyAlignment="1" applyBorder="1" applyFont="1">
      <alignment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0" fillId="0" fontId="4" numFmtId="164" xfId="0" applyAlignment="1" applyFont="1" applyNumberForma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3" numFmtId="164" xfId="0" applyAlignment="1" applyBorder="1" applyFont="1" applyNumberFormat="1">
      <alignment horizontal="left"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6" fillId="3" fontId="1" numFmtId="165" xfId="0" applyAlignment="1" applyBorder="1" applyFont="1" applyNumberFormat="1">
      <alignment readingOrder="0" shrinkToFit="0" vertical="center" wrapText="0"/>
    </xf>
    <xf borderId="6" fillId="3" fontId="3" numFmtId="165" xfId="0" applyAlignment="1" applyBorder="1" applyFont="1" applyNumberFormat="1">
      <alignment horizontal="right"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2" fillId="2" fontId="1" numFmtId="165" xfId="0" applyAlignment="1" applyBorder="1" applyFont="1" applyNumberFormat="1">
      <alignment readingOrder="0" shrinkToFit="0" vertical="center" wrapText="0"/>
    </xf>
    <xf borderId="3" fillId="2" fontId="1" numFmtId="0" xfId="0" applyAlignment="1" applyBorder="1" applyFont="1">
      <alignment shrinkToFit="0" vertical="center" wrapText="0"/>
    </xf>
    <xf borderId="6" fillId="3" fontId="1" numFmtId="164" xfId="0" applyAlignment="1" applyBorder="1" applyFont="1" applyNumberFormat="1">
      <alignment horizontal="left" readingOrder="0" shrinkToFit="0" vertical="center" wrapText="0"/>
    </xf>
    <xf borderId="6" fillId="3" fontId="1" numFmtId="0" xfId="0" applyAlignment="1" applyBorder="1" applyFont="1">
      <alignment readingOrder="0" shrinkToFit="0" vertical="center" wrapText="0"/>
    </xf>
    <xf borderId="6" fillId="3" fontId="1" numFmtId="165" xfId="0" applyAlignment="1" applyBorder="1" applyFont="1" applyNumberFormat="1">
      <alignment shrinkToFit="0" vertical="center" wrapText="0"/>
    </xf>
    <xf borderId="5" fillId="3" fontId="1" numFmtId="0" xfId="0" applyAlignment="1" applyBorder="1" applyFont="1">
      <alignment shrinkToFit="0" vertical="center" wrapText="0"/>
    </xf>
    <xf borderId="2" fillId="2" fontId="1" numFmtId="164" xfId="0" applyAlignment="1" applyBorder="1" applyFont="1" applyNumberFormat="1">
      <alignment horizontal="left"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2" fillId="2" fontId="1" numFmtId="0" xfId="0" applyAlignment="1" applyBorder="1" applyFont="1">
      <alignment readingOrder="0" shrinkToFit="0" vertical="center" wrapText="0"/>
    </xf>
    <xf borderId="6" fillId="3" fontId="1" numFmtId="164" xfId="0" applyAlignment="1" applyBorder="1" applyFont="1" applyNumberFormat="1">
      <alignment horizontal="left" shrinkToFit="0" vertical="center" wrapText="0"/>
    </xf>
    <xf borderId="6" fillId="3" fontId="1" numFmtId="0" xfId="0" applyAlignment="1" applyBorder="1" applyFont="1">
      <alignment shrinkToFit="0" vertical="center" wrapText="0"/>
    </xf>
    <xf borderId="6" fillId="3" fontId="1" numFmtId="0" xfId="0" applyAlignment="1" applyBorder="1" applyFont="1">
      <alignment shrinkToFit="0" vertical="center" wrapText="0"/>
    </xf>
    <xf borderId="2" fillId="2" fontId="1" numFmtId="164" xfId="0" applyAlignment="1" applyBorder="1" applyFont="1" applyNumberFormat="1">
      <alignment horizontal="left" shrinkToFit="0" vertical="center" wrapText="0"/>
    </xf>
    <xf borderId="2" fillId="2" fontId="1" numFmtId="0" xfId="0" applyAlignment="1" applyBorder="1" applyFont="1">
      <alignment shrinkToFit="0" vertical="center" wrapText="0"/>
    </xf>
    <xf borderId="2" fillId="2" fontId="1" numFmtId="0" xfId="0" applyAlignment="1" applyBorder="1" applyFont="1">
      <alignment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8" fillId="3" fontId="1" numFmtId="164" xfId="0" applyAlignment="1" applyBorder="1" applyFont="1" applyNumberFormat="1">
      <alignment horizontal="left" shrinkToFit="0" vertical="center" wrapText="0"/>
    </xf>
    <xf borderId="8" fillId="3" fontId="1" numFmtId="0" xfId="0" applyAlignment="1" applyBorder="1" applyFont="1">
      <alignment shrinkToFit="0" vertical="center" wrapText="0"/>
    </xf>
    <xf borderId="8" fillId="3" fontId="1" numFmtId="0" xfId="0" applyAlignment="1" applyBorder="1" applyFont="1">
      <alignment shrinkToFit="0" vertical="center" wrapText="0"/>
    </xf>
    <xf borderId="8" fillId="3" fontId="1" numFmtId="165" xfId="0" applyAlignment="1" applyBorder="1" applyFont="1" applyNumberFormat="1">
      <alignment shrinkToFit="0" vertical="center" wrapText="0"/>
    </xf>
    <xf borderId="9" fillId="3" fontId="1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horizontal="left" readingOrder="0" shrinkToFit="0" vertical="center" wrapText="0"/>
    </xf>
    <xf borderId="11" fillId="0" fontId="5" numFmtId="0" xfId="0" applyAlignment="1" applyBorder="1" applyFont="1">
      <alignment horizontal="center" readingOrder="0" shrinkToFit="0" vertical="center" wrapText="0"/>
    </xf>
    <xf borderId="12" fillId="0" fontId="5" numFmtId="0" xfId="0" applyAlignment="1" applyBorder="1" applyFont="1">
      <alignment horizontal="center" readingOrder="0" shrinkToFit="0" vertical="center" wrapText="0"/>
    </xf>
    <xf borderId="13" fillId="2" fontId="3" numFmtId="0" xfId="0" applyAlignment="1" applyBorder="1" applyFont="1">
      <alignment horizontal="center" shrinkToFit="0" vertical="center" wrapText="0"/>
    </xf>
    <xf borderId="14" fillId="2" fontId="1" numFmtId="165" xfId="0" applyAlignment="1" applyBorder="1" applyFont="1" applyNumberFormat="1">
      <alignment shrinkToFit="0" vertical="center" wrapText="0"/>
    </xf>
    <xf borderId="15" fillId="3" fontId="3" numFmtId="0" xfId="0" applyAlignment="1" applyBorder="1" applyFont="1">
      <alignment horizontal="center" shrinkToFit="0" vertical="center" wrapText="0"/>
    </xf>
    <xf borderId="6" fillId="3" fontId="3" numFmtId="165" xfId="0" applyAlignment="1" applyBorder="1" applyFont="1" applyNumberFormat="1">
      <alignment horizontal="right" shrinkToFit="0" vertical="center" wrapText="0"/>
    </xf>
    <xf borderId="16" fillId="3" fontId="1" numFmtId="165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17" fillId="3" fontId="3" numFmtId="0" xfId="0" applyAlignment="1" applyBorder="1" applyFont="1">
      <alignment horizontal="center" readingOrder="0" shrinkToFit="0" vertical="center" wrapText="0"/>
    </xf>
    <xf borderId="18" fillId="3" fontId="3" numFmtId="0" xfId="0" applyAlignment="1" applyBorder="1" applyFont="1">
      <alignment shrinkToFit="0" vertical="center" wrapText="0"/>
    </xf>
    <xf borderId="18" fillId="3" fontId="1" numFmtId="165" xfId="0" applyAlignment="1" applyBorder="1" applyFont="1" applyNumberFormat="1">
      <alignment shrinkToFit="0" vertical="center" wrapText="0"/>
    </xf>
    <xf borderId="18" fillId="3" fontId="3" numFmtId="165" xfId="0" applyAlignment="1" applyBorder="1" applyFont="1" applyNumberFormat="1">
      <alignment horizontal="right" shrinkToFit="0" vertical="center" wrapText="0"/>
    </xf>
    <xf borderId="19" fillId="3" fontId="1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Kas Ut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uran Anggota 2026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23" displayName="Kas_Utama" name="Kas_Utama" id="1">
  <tableColumns count="8">
    <tableColumn name="No" id="1"/>
    <tableColumn name="Tanggal" id="2"/>
    <tableColumn name="Keterangan" id="3"/>
    <tableColumn name="Kategori" id="4"/>
    <tableColumn name="Masuk" id="5"/>
    <tableColumn name="Keluar" id="6"/>
    <tableColumn name="Saldo" id="7"/>
    <tableColumn name="Bukti" id="8"/>
  </tableColumns>
  <tableStyleInfo name="Kas Utama-style" showColumnStripes="0" showFirstColumn="1" showLastColumn="1" showRowStripes="1"/>
</table>
</file>

<file path=xl/tables/table2.xml><?xml version="1.0" encoding="utf-8"?>
<table xmlns="http://schemas.openxmlformats.org/spreadsheetml/2006/main" ref="A2:N22" displayName="Tabel_Kas_Bulanan_2026" name="Tabel_Kas_Bulanan_2026" id="2">
  <tableColumns count="14">
    <tableColumn name="No" id="1"/>
    <tableColumn name="Nama Anggota" id="2"/>
    <tableColumn name="Januari" id="3"/>
    <tableColumn name="Februari" id="4"/>
    <tableColumn name="Maret" id="5"/>
    <tableColumn name="April" id="6"/>
    <tableColumn name="Mei" id="7"/>
    <tableColumn name="Juni" id="8"/>
    <tableColumn name="Juli" id="9"/>
    <tableColumn name="Agustus" id="10"/>
    <tableColumn name="September" id="11"/>
    <tableColumn name="Oktober" id="12"/>
    <tableColumn name="November" id="13"/>
    <tableColumn name="Desember" id="14"/>
  </tableColumns>
  <tableStyleInfo name="Iuran Anggota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38"/>
    <col customWidth="1" min="2" max="2" width="23.13"/>
    <col customWidth="1" min="3" max="3" width="30.38"/>
    <col customWidth="1" min="4" max="4" width="27.25"/>
    <col customWidth="1" min="5" max="6" width="17.75"/>
    <col customWidth="1" min="7" max="8" width="17.38"/>
  </cols>
  <sheetData>
    <row r="2">
      <c r="A2" s="1"/>
      <c r="B2" s="1"/>
      <c r="C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3">
        <v>1.0</v>
      </c>
      <c r="B4" s="4">
        <v>46023.0</v>
      </c>
      <c r="C4" s="5" t="s">
        <v>8</v>
      </c>
      <c r="D4" s="6" t="s">
        <v>9</v>
      </c>
      <c r="E4" s="7">
        <v>1000000.0</v>
      </c>
      <c r="F4" s="8"/>
      <c r="G4" s="9">
        <f t="shared" ref="G4:G10" si="1">SUM(E$3:E4)-SUM(F$3:F4)</f>
        <v>1000000</v>
      </c>
      <c r="H4" s="10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11">
        <v>2.0</v>
      </c>
      <c r="B5" s="12">
        <v>46023.0</v>
      </c>
      <c r="C5" s="13" t="s">
        <v>10</v>
      </c>
      <c r="D5" s="14" t="s">
        <v>11</v>
      </c>
      <c r="E5" s="15">
        <f>SUM(Tabel_Kas_Bulanan_2026[Januari])</f>
        <v>50000</v>
      </c>
      <c r="F5" s="15"/>
      <c r="G5" s="9">
        <f t="shared" si="1"/>
        <v>1050000</v>
      </c>
      <c r="H5" s="1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3">
        <v>3.0</v>
      </c>
      <c r="B6" s="17">
        <v>46054.0</v>
      </c>
      <c r="C6" s="18" t="s">
        <v>12</v>
      </c>
      <c r="D6" s="19" t="s">
        <v>13</v>
      </c>
      <c r="E6" s="20"/>
      <c r="F6" s="21">
        <v>30000.0</v>
      </c>
      <c r="G6" s="9">
        <f t="shared" si="1"/>
        <v>1020000</v>
      </c>
      <c r="H6" s="10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11">
        <v>4.0</v>
      </c>
      <c r="B7" s="17">
        <v>46054.0</v>
      </c>
      <c r="C7" s="5" t="s">
        <v>10</v>
      </c>
      <c r="D7" s="22" t="s">
        <v>11</v>
      </c>
      <c r="E7" s="8">
        <f>SUM(Tabel_Kas_Bulanan_2026[Februari])</f>
        <v>50000</v>
      </c>
      <c r="F7" s="9"/>
      <c r="G7" s="9">
        <f t="shared" si="1"/>
        <v>1070000</v>
      </c>
      <c r="H7" s="1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3">
        <v>5.0</v>
      </c>
      <c r="B8" s="4">
        <v>46082.0</v>
      </c>
      <c r="C8" s="5" t="s">
        <v>14</v>
      </c>
      <c r="D8" s="22" t="s">
        <v>13</v>
      </c>
      <c r="E8" s="9"/>
      <c r="F8" s="23">
        <v>35000.0</v>
      </c>
      <c r="G8" s="9">
        <f t="shared" si="1"/>
        <v>1035000</v>
      </c>
      <c r="H8" s="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1">
        <v>6.0</v>
      </c>
      <c r="B9" s="25">
        <v>46082.0</v>
      </c>
      <c r="C9" s="5" t="s">
        <v>15</v>
      </c>
      <c r="D9" s="26" t="s">
        <v>11</v>
      </c>
      <c r="E9" s="27">
        <f>SUM(Tabel_Kas_Bulanan_2026[Maret])</f>
        <v>50000</v>
      </c>
      <c r="F9" s="27"/>
      <c r="G9" s="9">
        <f t="shared" si="1"/>
        <v>1085000</v>
      </c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3">
        <v>7.0</v>
      </c>
      <c r="B10" s="29">
        <v>38078.0</v>
      </c>
      <c r="C10" s="30" t="s">
        <v>16</v>
      </c>
      <c r="D10" s="31" t="s">
        <v>11</v>
      </c>
      <c r="E10" s="27">
        <f>SUM(Tabel_Kas_Bulanan_2026[April])</f>
        <v>50000</v>
      </c>
      <c r="F10" s="8"/>
      <c r="G10" s="9">
        <f t="shared" si="1"/>
        <v>1135000</v>
      </c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1">
        <v>8.0</v>
      </c>
      <c r="B11" s="32"/>
      <c r="C11" s="33"/>
      <c r="D11" s="34"/>
      <c r="E11" s="27"/>
      <c r="F11" s="27"/>
      <c r="G11" s="27"/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3">
        <v>9.0</v>
      </c>
      <c r="B12" s="35"/>
      <c r="C12" s="36"/>
      <c r="D12" s="37"/>
      <c r="E12" s="8"/>
      <c r="F12" s="8"/>
      <c r="G12" s="8"/>
      <c r="H12" s="2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2.5" customHeight="1">
      <c r="A13" s="11">
        <v>10.0</v>
      </c>
      <c r="B13" s="32"/>
      <c r="C13" s="33"/>
      <c r="D13" s="34"/>
      <c r="E13" s="27"/>
      <c r="F13" s="27"/>
      <c r="G13" s="27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2.5" customHeight="1">
      <c r="A14" s="3">
        <v>11.0</v>
      </c>
      <c r="B14" s="35"/>
      <c r="C14" s="36"/>
      <c r="D14" s="37"/>
      <c r="E14" s="8"/>
      <c r="F14" s="8"/>
      <c r="G14" s="8"/>
      <c r="H14" s="2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2.5" customHeight="1">
      <c r="A15" s="11">
        <v>12.0</v>
      </c>
      <c r="B15" s="32"/>
      <c r="C15" s="33"/>
      <c r="D15" s="34"/>
      <c r="E15" s="27"/>
      <c r="F15" s="27"/>
      <c r="G15" s="27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2.5" customHeight="1">
      <c r="A16" s="3">
        <v>13.0</v>
      </c>
      <c r="B16" s="35"/>
      <c r="C16" s="36"/>
      <c r="D16" s="37"/>
      <c r="E16" s="8"/>
      <c r="F16" s="8"/>
      <c r="G16" s="8"/>
      <c r="H16" s="2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2.5" customHeight="1">
      <c r="A17" s="11">
        <v>14.0</v>
      </c>
      <c r="B17" s="32"/>
      <c r="C17" s="33"/>
      <c r="D17" s="34"/>
      <c r="E17" s="27"/>
      <c r="F17" s="27"/>
      <c r="G17" s="27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3">
        <v>15.0</v>
      </c>
      <c r="B18" s="35"/>
      <c r="C18" s="36"/>
      <c r="D18" s="37"/>
      <c r="E18" s="8"/>
      <c r="F18" s="8"/>
      <c r="G18" s="8"/>
      <c r="H18" s="2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1">
        <v>16.0</v>
      </c>
      <c r="B19" s="32"/>
      <c r="C19" s="33"/>
      <c r="D19" s="34"/>
      <c r="E19" s="27"/>
      <c r="F19" s="27"/>
      <c r="G19" s="27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3">
        <v>17.0</v>
      </c>
      <c r="B20" s="35"/>
      <c r="C20" s="36"/>
      <c r="D20" s="37"/>
      <c r="E20" s="8"/>
      <c r="F20" s="8"/>
      <c r="G20" s="8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1">
        <v>18.0</v>
      </c>
      <c r="B21" s="32"/>
      <c r="C21" s="33"/>
      <c r="D21" s="34"/>
      <c r="E21" s="27"/>
      <c r="F21" s="27"/>
      <c r="G21" s="27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2.5" customHeight="1">
      <c r="A22" s="3">
        <v>19.0</v>
      </c>
      <c r="B22" s="35"/>
      <c r="C22" s="36"/>
      <c r="D22" s="37"/>
      <c r="E22" s="8"/>
      <c r="F22" s="8"/>
      <c r="G22" s="8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2.5" customHeight="1">
      <c r="A23" s="38">
        <v>20.0</v>
      </c>
      <c r="B23" s="39"/>
      <c r="C23" s="40"/>
      <c r="D23" s="41"/>
      <c r="E23" s="42"/>
      <c r="F23" s="42"/>
      <c r="G23" s="42"/>
      <c r="H23" s="4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C2:H2"/>
  </mergeCells>
  <dataValidations>
    <dataValidation type="list" allowBlank="1" sqref="D4:D23">
      <formula1>"Iuran Anggota,Donasi,Kegiatan,Operasional,Peralatan/Perlengkapan,Sosial"</formula1>
    </dataValidation>
    <dataValidation type="custom" allowBlank="1" showDropDown="1" sqref="B4:B23">
      <formula1>OR(NOT(ISERROR(DATEVALUE(B4))), AND(ISNUMBER(B4), LEFT(CELL("format", B4))="D"))</formula1>
    </dataValidation>
    <dataValidation type="custom" allowBlank="1" showDropDown="1" sqref="A4:A23 E4:G23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38"/>
    <col customWidth="1" min="2" max="2" width="25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.5" customHeight="1">
      <c r="A2" s="44" t="s">
        <v>0</v>
      </c>
      <c r="B2" s="45" t="s">
        <v>17</v>
      </c>
      <c r="C2" s="45" t="s">
        <v>18</v>
      </c>
      <c r="D2" s="45" t="s">
        <v>19</v>
      </c>
      <c r="E2" s="45" t="s">
        <v>20</v>
      </c>
      <c r="F2" s="45" t="s">
        <v>21</v>
      </c>
      <c r="G2" s="45" t="s">
        <v>22</v>
      </c>
      <c r="H2" s="45" t="s">
        <v>23</v>
      </c>
      <c r="I2" s="45" t="s">
        <v>24</v>
      </c>
      <c r="J2" s="45" t="s">
        <v>25</v>
      </c>
      <c r="K2" s="45" t="s">
        <v>26</v>
      </c>
      <c r="L2" s="45" t="s">
        <v>27</v>
      </c>
      <c r="M2" s="45" t="s">
        <v>28</v>
      </c>
      <c r="N2" s="46" t="s">
        <v>29</v>
      </c>
    </row>
    <row r="3" ht="22.5" customHeight="1">
      <c r="A3" s="47">
        <v>1.0</v>
      </c>
      <c r="B3" s="13" t="s">
        <v>30</v>
      </c>
      <c r="C3" s="9">
        <v>5000.0</v>
      </c>
      <c r="D3" s="9">
        <v>5000.0</v>
      </c>
      <c r="E3" s="9">
        <v>5000.0</v>
      </c>
      <c r="F3" s="9">
        <v>5000.0</v>
      </c>
      <c r="G3" s="8"/>
      <c r="H3" s="8"/>
      <c r="I3" s="8"/>
      <c r="J3" s="8"/>
      <c r="K3" s="8"/>
      <c r="L3" s="8"/>
      <c r="M3" s="8"/>
      <c r="N3" s="48"/>
    </row>
    <row r="4" ht="22.5" customHeight="1">
      <c r="A4" s="49">
        <v>2.0</v>
      </c>
      <c r="B4" s="13" t="s">
        <v>31</v>
      </c>
      <c r="C4" s="50">
        <v>5000.0</v>
      </c>
      <c r="D4" s="50">
        <v>5000.0</v>
      </c>
      <c r="E4" s="50">
        <v>5000.0</v>
      </c>
      <c r="F4" s="50">
        <v>5000.0</v>
      </c>
      <c r="G4" s="27"/>
      <c r="H4" s="27"/>
      <c r="I4" s="27"/>
      <c r="J4" s="27"/>
      <c r="K4" s="27"/>
      <c r="L4" s="27"/>
      <c r="M4" s="27"/>
      <c r="N4" s="51"/>
    </row>
    <row r="5" ht="22.5" customHeight="1">
      <c r="A5" s="47">
        <v>3.0</v>
      </c>
      <c r="B5" s="13" t="s">
        <v>32</v>
      </c>
      <c r="C5" s="9">
        <v>5000.0</v>
      </c>
      <c r="D5" s="9">
        <v>5000.0</v>
      </c>
      <c r="E5" s="9">
        <v>5000.0</v>
      </c>
      <c r="F5" s="9">
        <v>5000.0</v>
      </c>
      <c r="G5" s="8"/>
      <c r="H5" s="8"/>
      <c r="I5" s="8"/>
      <c r="J5" s="8"/>
      <c r="K5" s="8"/>
      <c r="L5" s="8"/>
      <c r="M5" s="8"/>
      <c r="N5" s="48"/>
    </row>
    <row r="6" ht="22.5" customHeight="1">
      <c r="A6" s="49">
        <v>4.0</v>
      </c>
      <c r="B6" s="13" t="s">
        <v>33</v>
      </c>
      <c r="C6" s="50">
        <v>5000.0</v>
      </c>
      <c r="D6" s="50">
        <v>5000.0</v>
      </c>
      <c r="E6" s="50">
        <v>5000.0</v>
      </c>
      <c r="F6" s="50">
        <v>5000.0</v>
      </c>
      <c r="G6" s="27"/>
      <c r="H6" s="27"/>
      <c r="I6" s="27"/>
      <c r="J6" s="27"/>
      <c r="K6" s="27"/>
      <c r="L6" s="27"/>
      <c r="M6" s="27"/>
      <c r="N6" s="51"/>
    </row>
    <row r="7" ht="22.5" customHeight="1">
      <c r="A7" s="47">
        <v>5.0</v>
      </c>
      <c r="B7" s="13" t="s">
        <v>34</v>
      </c>
      <c r="C7" s="9">
        <v>5000.0</v>
      </c>
      <c r="D7" s="9">
        <v>5000.0</v>
      </c>
      <c r="E7" s="9">
        <v>5000.0</v>
      </c>
      <c r="F7" s="9">
        <v>5000.0</v>
      </c>
      <c r="G7" s="8"/>
      <c r="H7" s="8"/>
      <c r="I7" s="8"/>
      <c r="J7" s="8"/>
      <c r="K7" s="8"/>
      <c r="L7" s="8"/>
      <c r="M7" s="8"/>
      <c r="N7" s="48"/>
    </row>
    <row r="8" ht="22.5" customHeight="1">
      <c r="A8" s="49">
        <v>6.0</v>
      </c>
      <c r="B8" s="13" t="s">
        <v>35</v>
      </c>
      <c r="C8" s="50">
        <v>5000.0</v>
      </c>
      <c r="D8" s="50">
        <v>5000.0</v>
      </c>
      <c r="E8" s="50">
        <v>5000.0</v>
      </c>
      <c r="F8" s="50">
        <v>5000.0</v>
      </c>
      <c r="G8" s="27"/>
      <c r="H8" s="27"/>
      <c r="I8" s="27"/>
      <c r="J8" s="27"/>
      <c r="K8" s="27"/>
      <c r="L8" s="27"/>
      <c r="M8" s="27"/>
      <c r="N8" s="51"/>
    </row>
    <row r="9" ht="22.5" customHeight="1">
      <c r="A9" s="47">
        <v>7.0</v>
      </c>
      <c r="B9" s="13" t="s">
        <v>36</v>
      </c>
      <c r="C9" s="9">
        <v>5000.0</v>
      </c>
      <c r="D9" s="9">
        <v>5000.0</v>
      </c>
      <c r="E9" s="9">
        <v>5000.0</v>
      </c>
      <c r="F9" s="9">
        <v>5000.0</v>
      </c>
      <c r="G9" s="8"/>
      <c r="H9" s="8"/>
      <c r="I9" s="8"/>
      <c r="J9" s="8"/>
      <c r="K9" s="8"/>
      <c r="L9" s="8"/>
      <c r="M9" s="8"/>
      <c r="N9" s="48"/>
    </row>
    <row r="10" ht="22.5" customHeight="1">
      <c r="A10" s="49">
        <v>8.0</v>
      </c>
      <c r="B10" s="13" t="s">
        <v>37</v>
      </c>
      <c r="C10" s="50">
        <v>5000.0</v>
      </c>
      <c r="D10" s="50">
        <v>5000.0</v>
      </c>
      <c r="E10" s="50">
        <v>5000.0</v>
      </c>
      <c r="F10" s="50">
        <v>5000.0</v>
      </c>
      <c r="G10" s="27"/>
      <c r="H10" s="27"/>
      <c r="I10" s="27"/>
      <c r="J10" s="27"/>
      <c r="K10" s="27"/>
      <c r="L10" s="27"/>
      <c r="M10" s="27"/>
      <c r="N10" s="51"/>
    </row>
    <row r="11" ht="22.5" customHeight="1">
      <c r="A11" s="47">
        <v>9.0</v>
      </c>
      <c r="B11" s="13" t="s">
        <v>38</v>
      </c>
      <c r="C11" s="9">
        <v>5000.0</v>
      </c>
      <c r="D11" s="9">
        <v>5000.0</v>
      </c>
      <c r="E11" s="9">
        <v>5000.0</v>
      </c>
      <c r="F11" s="9">
        <v>5000.0</v>
      </c>
      <c r="G11" s="8"/>
      <c r="H11" s="8"/>
      <c r="I11" s="8"/>
      <c r="J11" s="8"/>
      <c r="K11" s="8"/>
      <c r="L11" s="8"/>
      <c r="M11" s="8"/>
      <c r="N11" s="48"/>
    </row>
    <row r="12" ht="22.5" customHeight="1">
      <c r="A12" s="49">
        <v>10.0</v>
      </c>
      <c r="B12" s="13" t="s">
        <v>39</v>
      </c>
      <c r="C12" s="50">
        <v>5000.0</v>
      </c>
      <c r="D12" s="50">
        <v>5000.0</v>
      </c>
      <c r="E12" s="50">
        <v>5000.0</v>
      </c>
      <c r="F12" s="50">
        <v>5000.0</v>
      </c>
      <c r="G12" s="27"/>
      <c r="H12" s="27"/>
      <c r="I12" s="27"/>
      <c r="J12" s="27"/>
      <c r="K12" s="27"/>
      <c r="L12" s="27"/>
      <c r="M12" s="27"/>
      <c r="N12" s="51"/>
    </row>
    <row r="13" ht="22.5" customHeight="1">
      <c r="A13" s="49">
        <v>11.0</v>
      </c>
      <c r="B13" s="52"/>
      <c r="C13" s="8"/>
      <c r="D13" s="8"/>
      <c r="E13" s="8"/>
      <c r="F13" s="9"/>
      <c r="G13" s="8"/>
      <c r="H13" s="8"/>
      <c r="I13" s="8"/>
      <c r="J13" s="8"/>
      <c r="K13" s="8"/>
      <c r="L13" s="8"/>
      <c r="M13" s="8"/>
      <c r="N13" s="48"/>
    </row>
    <row r="14" ht="22.5" customHeight="1">
      <c r="A14" s="47">
        <v>12.0</v>
      </c>
      <c r="B14" s="53"/>
      <c r="C14" s="27"/>
      <c r="D14" s="27"/>
      <c r="E14" s="27"/>
      <c r="F14" s="50"/>
      <c r="G14" s="27"/>
      <c r="H14" s="27"/>
      <c r="I14" s="27"/>
      <c r="J14" s="27"/>
      <c r="K14" s="27"/>
      <c r="L14" s="27"/>
      <c r="M14" s="27"/>
      <c r="N14" s="51"/>
    </row>
    <row r="15" ht="22.5" customHeight="1">
      <c r="A15" s="49">
        <v>13.0</v>
      </c>
      <c r="B15" s="52"/>
      <c r="C15" s="8"/>
      <c r="D15" s="8"/>
      <c r="E15" s="8"/>
      <c r="F15" s="9"/>
      <c r="G15" s="8"/>
      <c r="H15" s="8"/>
      <c r="I15" s="8"/>
      <c r="J15" s="8"/>
      <c r="K15" s="8"/>
      <c r="L15" s="8"/>
      <c r="M15" s="8"/>
      <c r="N15" s="48"/>
    </row>
    <row r="16" ht="22.5" customHeight="1">
      <c r="A16" s="49">
        <v>14.0</v>
      </c>
      <c r="B16" s="53"/>
      <c r="C16" s="27"/>
      <c r="D16" s="27"/>
      <c r="E16" s="27"/>
      <c r="F16" s="50"/>
      <c r="G16" s="27"/>
      <c r="H16" s="27"/>
      <c r="I16" s="27"/>
      <c r="J16" s="27"/>
      <c r="K16" s="27"/>
      <c r="L16" s="27"/>
      <c r="M16" s="27"/>
      <c r="N16" s="51"/>
    </row>
    <row r="17" ht="22.5" customHeight="1">
      <c r="A17" s="47">
        <v>15.0</v>
      </c>
      <c r="B17" s="52"/>
      <c r="C17" s="8"/>
      <c r="D17" s="8"/>
      <c r="E17" s="8"/>
      <c r="F17" s="9"/>
      <c r="G17" s="8"/>
      <c r="H17" s="8"/>
      <c r="I17" s="8"/>
      <c r="J17" s="8"/>
      <c r="K17" s="8"/>
      <c r="L17" s="8"/>
      <c r="M17" s="8"/>
      <c r="N17" s="48"/>
    </row>
    <row r="18" ht="22.5" customHeight="1">
      <c r="A18" s="49">
        <v>16.0</v>
      </c>
      <c r="B18" s="53"/>
      <c r="C18" s="27"/>
      <c r="D18" s="27"/>
      <c r="E18" s="27"/>
      <c r="F18" s="50"/>
      <c r="G18" s="27"/>
      <c r="H18" s="27"/>
      <c r="I18" s="27"/>
      <c r="J18" s="27"/>
      <c r="K18" s="27"/>
      <c r="L18" s="27"/>
      <c r="M18" s="27"/>
      <c r="N18" s="51"/>
    </row>
    <row r="19" ht="22.5" customHeight="1">
      <c r="A19" s="49">
        <v>17.0</v>
      </c>
      <c r="B19" s="52"/>
      <c r="C19" s="8"/>
      <c r="D19" s="8"/>
      <c r="E19" s="8"/>
      <c r="F19" s="9"/>
      <c r="G19" s="8"/>
      <c r="H19" s="8"/>
      <c r="I19" s="8"/>
      <c r="J19" s="8"/>
      <c r="K19" s="8"/>
      <c r="L19" s="8"/>
      <c r="M19" s="8"/>
      <c r="N19" s="48"/>
    </row>
    <row r="20" ht="22.5" customHeight="1">
      <c r="A20" s="47">
        <v>18.0</v>
      </c>
      <c r="B20" s="53"/>
      <c r="C20" s="27"/>
      <c r="D20" s="27"/>
      <c r="E20" s="27"/>
      <c r="F20" s="50"/>
      <c r="G20" s="27"/>
      <c r="H20" s="27"/>
      <c r="I20" s="27"/>
      <c r="J20" s="27"/>
      <c r="K20" s="27"/>
      <c r="L20" s="27"/>
      <c r="M20" s="27"/>
      <c r="N20" s="51"/>
    </row>
    <row r="21" ht="22.5" customHeight="1">
      <c r="A21" s="49">
        <v>19.0</v>
      </c>
      <c r="B21" s="52"/>
      <c r="C21" s="8"/>
      <c r="D21" s="8"/>
      <c r="E21" s="8"/>
      <c r="F21" s="9"/>
      <c r="G21" s="8"/>
      <c r="H21" s="8"/>
      <c r="I21" s="8"/>
      <c r="J21" s="8"/>
      <c r="K21" s="8"/>
      <c r="L21" s="8"/>
      <c r="M21" s="8"/>
      <c r="N21" s="48"/>
    </row>
    <row r="22" ht="22.5" customHeight="1">
      <c r="A22" s="54">
        <v>20.0</v>
      </c>
      <c r="B22" s="55"/>
      <c r="C22" s="56"/>
      <c r="D22" s="56"/>
      <c r="E22" s="56"/>
      <c r="F22" s="57"/>
      <c r="G22" s="56"/>
      <c r="H22" s="56"/>
      <c r="I22" s="56"/>
      <c r="J22" s="56"/>
      <c r="K22" s="56"/>
      <c r="L22" s="56"/>
      <c r="M22" s="56"/>
      <c r="N22" s="58"/>
    </row>
  </sheetData>
  <dataValidations>
    <dataValidation type="custom" allowBlank="1" showDropDown="1" sqref="A3:A22 C3:N22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